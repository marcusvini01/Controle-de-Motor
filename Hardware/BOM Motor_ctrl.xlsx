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Hardware\Altium\Motor_ctrl\Project Outputs for Motor_ctrl\"/>
    </mc:Choice>
  </mc:AlternateContent>
  <xr:revisionPtr revIDLastSave="0" documentId="13_ncr:1_{B9D5F92C-E926-41AF-8B34-F601204B6BCF}" xr6:coauthVersionLast="47" xr6:coauthVersionMax="47" xr10:uidLastSave="{00000000-0000-0000-0000-000000000000}"/>
  <bookViews>
    <workbookView xWindow="-110" yWindow="-110" windowWidth="19420" windowHeight="10300" xr2:uid="{605DFDFD-5549-4BDF-B80F-45CEFE636E50}"/>
  </bookViews>
  <sheets>
    <sheet name="BOM Motor_ctrl" sheetId="1" r:id="rId1"/>
  </sheets>
  <definedNames>
    <definedName name="_xlnm.Print_Titles" localSheetId="0">'BOM Motor_ctrl'!$1:$1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2" i="1" s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<sst xmlns="http://schemas.openxmlformats.org/spreadsheetml/2006/main" count="108" uniqueCount="104">
  <si>
    <t>Designator</t>
  </si>
  <si>
    <t>Comment</t>
  </si>
  <si>
    <t>Description</t>
  </si>
  <si>
    <t>Footprint</t>
  </si>
  <si>
    <t>Quantity</t>
  </si>
  <si>
    <t>C1, C4, C5, C8, C9, C10, C11, C12, C13, C14, C17, C18</t>
  </si>
  <si>
    <t>100nF/100V</t>
  </si>
  <si>
    <t>Capacitor Cerâmico SMD</t>
  </si>
  <si>
    <t>0603C-GENERIC</t>
  </si>
  <si>
    <t>C2, C3, C6, C7</t>
  </si>
  <si>
    <t>10uF/50V</t>
  </si>
  <si>
    <t>Capacitor Eletrolítico Radial SMD</t>
  </si>
  <si>
    <t>CapE SMD D6.3 L5.8</t>
  </si>
  <si>
    <t>C15, C16</t>
  </si>
  <si>
    <t>12pF/50V</t>
  </si>
  <si>
    <t>Capacitor Cerâmico</t>
  </si>
  <si>
    <t>CN1</t>
  </si>
  <si>
    <t>Power Jack 694106301002</t>
  </si>
  <si>
    <t>CN2, CN3</t>
  </si>
  <si>
    <t>BORNE</t>
  </si>
  <si>
    <t>AKZ700/2</t>
  </si>
  <si>
    <t>CN4</t>
  </si>
  <si>
    <t>DB9</t>
  </si>
  <si>
    <t>Connector DB9</t>
  </si>
  <si>
    <t>618009231121</t>
  </si>
  <si>
    <t>D1, D2</t>
  </si>
  <si>
    <t>MBRS360BT3G</t>
  </si>
  <si>
    <t>Schottky Barrier Diode</t>
  </si>
  <si>
    <t>DO-214AA(SMB)</t>
  </si>
  <si>
    <t>ICSP</t>
  </si>
  <si>
    <t>Gravação in circuit</t>
  </si>
  <si>
    <t>Barra de Pinos Macho 4p 11,2mm 180º</t>
  </si>
  <si>
    <t>BP 1x4</t>
  </si>
  <si>
    <t>PTC</t>
  </si>
  <si>
    <t>Fusível Thermistor PTC</t>
  </si>
  <si>
    <t>PTC LVR</t>
  </si>
  <si>
    <t>Q1</t>
  </si>
  <si>
    <t>STD5NM50AG</t>
  </si>
  <si>
    <t>DPAK-3_ONS</t>
  </si>
  <si>
    <t>R1, R2, R5, R6, R7</t>
  </si>
  <si>
    <t>10K</t>
  </si>
  <si>
    <t>Resistor Metal Filme</t>
  </si>
  <si>
    <t>0603R</t>
  </si>
  <si>
    <t>R3</t>
  </si>
  <si>
    <t>470</t>
  </si>
  <si>
    <t>Res 1206</t>
  </si>
  <si>
    <t>R4</t>
  </si>
  <si>
    <t>220R</t>
  </si>
  <si>
    <t>U1</t>
  </si>
  <si>
    <t>STM32F103CBT6</t>
  </si>
  <si>
    <t>LQFP-48</t>
  </si>
  <si>
    <t>U2</t>
  </si>
  <si>
    <t>No Description Available</t>
  </si>
  <si>
    <t>U3</t>
  </si>
  <si>
    <t>IL2405S</t>
  </si>
  <si>
    <t>Conversor DC/DC 2W</t>
  </si>
  <si>
    <t>IL SERIES</t>
  </si>
  <si>
    <t>U4, U5</t>
  </si>
  <si>
    <t>SFH618</t>
  </si>
  <si>
    <t>Optocoupler Dc-in 1-CH Transistor Dc-out 4-PIN PDIP SMD T/r</t>
  </si>
  <si>
    <t>FP-83911-MFG</t>
  </si>
  <si>
    <t>U6</t>
  </si>
  <si>
    <t>MAX3232CSE</t>
  </si>
  <si>
    <t>Integrated Circuit</t>
  </si>
  <si>
    <t>SOIC127P600X175-16N</t>
  </si>
  <si>
    <t>VDR</t>
  </si>
  <si>
    <t>S10K30</t>
  </si>
  <si>
    <t>Varistor 30VAC/48VDC</t>
  </si>
  <si>
    <t>VDR D12H14.5-7.5</t>
  </si>
  <si>
    <t>X1</t>
  </si>
  <si>
    <t>8MHz</t>
  </si>
  <si>
    <t>Cristal</t>
  </si>
  <si>
    <t>Cristal HC49S</t>
  </si>
  <si>
    <t>Microcontroller 32 Bits</t>
  </si>
  <si>
    <t>DC POWER JACK</t>
  </si>
  <si>
    <t>Connector</t>
  </si>
  <si>
    <t>Borne 2 Vias</t>
  </si>
  <si>
    <t>Mouser</t>
  </si>
  <si>
    <t>581-KAM15BS72A104KT</t>
  </si>
  <si>
    <t>Price Unit U$</t>
  </si>
  <si>
    <t>Price Total U$</t>
  </si>
  <si>
    <t>581-06035A120GAT2A</t>
  </si>
  <si>
    <t>581-AEH0608100M050R</t>
  </si>
  <si>
    <t>502-RASM742TRX</t>
  </si>
  <si>
    <t>651-1725656</t>
  </si>
  <si>
    <t>895-DB9-USB-D3-F</t>
  </si>
  <si>
    <t>863-MBRS360BT3G</t>
  </si>
  <si>
    <t>Mosfet N-Channel</t>
  </si>
  <si>
    <t>511-STD5NM50AG</t>
  </si>
  <si>
    <t>71-CRCW060310K0DHEAP</t>
  </si>
  <si>
    <t>594-RCA0603220RFKEC</t>
  </si>
  <si>
    <t>279-CRGP1206F470R</t>
  </si>
  <si>
    <t>511-STM32F103CBT6</t>
  </si>
  <si>
    <t>209-ITQ2405SA</t>
  </si>
  <si>
    <t>ITQ2405SA</t>
  </si>
  <si>
    <t>SIP8_ITQ2405_XPR</t>
  </si>
  <si>
    <t>209-IL2405S</t>
  </si>
  <si>
    <t>782-SFH6186-3X001</t>
  </si>
  <si>
    <t>700-MAX3232EWET</t>
  </si>
  <si>
    <t>871-B72210S2301K101</t>
  </si>
  <si>
    <t>559-FOXS080-LF</t>
  </si>
  <si>
    <t>530-0ZRV0150FF1A</t>
  </si>
  <si>
    <t>0ZRV0150FF1A</t>
  </si>
  <si>
    <t>HTSW-104-05-G-S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</si>
</sst>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FCC0-FB80-4B0D-A6FC-3FA2C922317C}">
  <dimension ref="A1:H22"/>
  <sheetViews>
    <sheetView tabSelected="1" workbookViewId="0">
      <selection activeCell="G10" sqref="G10"/>
    </sheetView>
  </sheetViews>
  <sheetFormatPr defaultRowHeight="14.5" x14ac:dyDescent="0.35"/>
  <cols>
    <col min="1" max="5" width="18.81640625" customWidth="1"/>
    <col min="6" max="6" width="22.453125" customWidth="1"/>
    <col min="7" max="7" width="11.81640625" customWidth="1"/>
    <col min="8" max="8" width="12.453125" customWidth="1"/>
  </cols>
  <sheetData>
    <row r="1" spans="1: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77</v>
      </c>
      <c r="G1" s="3" t="s">
        <v>79</v>
      </c>
      <c r="H1" s="3" t="s">
        <v>80</v>
      </c>
    </row>
    <row r="2" spans="1:8" s="10" customFormat="1" ht="43.5" x14ac:dyDescent="0.35">
      <c r="A2" s="6" t="s">
        <v>5</v>
      </c>
      <c r="B2" s="7" t="s">
        <v>6</v>
      </c>
      <c r="C2" s="7" t="s">
        <v>7</v>
      </c>
      <c r="D2" s="7" t="s">
        <v>8</v>
      </c>
      <c r="E2" s="8">
        <v>12</v>
      </c>
      <c r="F2" s="9" t="s">
        <v>78</v>
      </c>
      <c r="G2" s="8">
        <v>0.18</v>
      </c>
      <c r="H2" s="8">
        <f>G2*E2</f>
        <v>2.16</v>
      </c>
    </row>
    <row r="3" spans="1:8" x14ac:dyDescent="0.35">
      <c r="A3" s="2" t="s">
        <v>9</v>
      </c>
      <c r="B3" s="2" t="s">
        <v>10</v>
      </c>
      <c r="C3" s="2" t="s">
        <v>11</v>
      </c>
      <c r="D3" s="2" t="s">
        <v>12</v>
      </c>
      <c r="E3" s="1">
        <v>4</v>
      </c>
      <c r="F3" s="1" t="s">
        <v>82</v>
      </c>
      <c r="G3" s="1">
        <v>0.53</v>
      </c>
      <c r="H3" s="1">
        <f t="shared" ref="H3:H21" si="0">G3*E3</f>
        <v>2.12</v>
      </c>
    </row>
    <row r="4" spans="1:8" x14ac:dyDescent="0.35">
      <c r="A4" s="2" t="s">
        <v>13</v>
      </c>
      <c r="B4" s="2" t="s">
        <v>14</v>
      </c>
      <c r="C4" s="2" t="s">
        <v>15</v>
      </c>
      <c r="D4" s="2" t="s">
        <v>8</v>
      </c>
      <c r="E4" s="1">
        <v>2</v>
      </c>
      <c r="F4" s="1" t="s">
        <v>81</v>
      </c>
      <c r="G4" s="1">
        <v>0.4</v>
      </c>
      <c r="H4" s="1">
        <f t="shared" si="0"/>
        <v>0.8</v>
      </c>
    </row>
    <row r="5" spans="1:8" x14ac:dyDescent="0.35">
      <c r="A5" s="2" t="s">
        <v>16</v>
      </c>
      <c r="B5" s="2" t="s">
        <v>74</v>
      </c>
      <c r="C5" s="2" t="s">
        <v>75</v>
      </c>
      <c r="D5" s="2" t="s">
        <v>17</v>
      </c>
      <c r="E5" s="1">
        <v>1</v>
      </c>
      <c r="F5" s="1" t="s">
        <v>83</v>
      </c>
      <c r="G5" s="1">
        <v>3.22</v>
      </c>
      <c r="H5" s="1">
        <f t="shared" si="0"/>
        <v>3.22</v>
      </c>
    </row>
    <row r="6" spans="1:8" x14ac:dyDescent="0.35">
      <c r="A6" s="2" t="s">
        <v>18</v>
      </c>
      <c r="B6" s="2" t="s">
        <v>19</v>
      </c>
      <c r="C6" s="2" t="s">
        <v>76</v>
      </c>
      <c r="D6" s="2" t="s">
        <v>20</v>
      </c>
      <c r="E6" s="1">
        <v>2</v>
      </c>
      <c r="F6" s="1" t="s">
        <v>84</v>
      </c>
      <c r="G6" s="1">
        <v>1.4</v>
      </c>
      <c r="H6" s="1">
        <f t="shared" si="0"/>
        <v>2.8</v>
      </c>
    </row>
    <row r="7" spans="1:8" x14ac:dyDescent="0.35">
      <c r="A7" s="2" t="s">
        <v>21</v>
      </c>
      <c r="B7" s="2" t="s">
        <v>22</v>
      </c>
      <c r="C7" s="2" t="s">
        <v>23</v>
      </c>
      <c r="D7" s="2" t="s">
        <v>24</v>
      </c>
      <c r="E7" s="1">
        <v>1</v>
      </c>
      <c r="F7" s="1" t="s">
        <v>85</v>
      </c>
      <c r="G7" s="1">
        <v>17.899999999999999</v>
      </c>
      <c r="H7" s="1">
        <f t="shared" si="0"/>
        <v>17.899999999999999</v>
      </c>
    </row>
    <row r="8" spans="1:8" x14ac:dyDescent="0.35">
      <c r="A8" s="2" t="s">
        <v>25</v>
      </c>
      <c r="B8" s="2" t="s">
        <v>26</v>
      </c>
      <c r="C8" s="2" t="s">
        <v>27</v>
      </c>
      <c r="D8" s="2" t="s">
        <v>28</v>
      </c>
      <c r="E8" s="1">
        <v>2</v>
      </c>
      <c r="F8" s="1" t="s">
        <v>86</v>
      </c>
      <c r="G8" s="1">
        <v>0.28000000000000003</v>
      </c>
      <c r="H8" s="1">
        <f t="shared" si="0"/>
        <v>0.56000000000000005</v>
      </c>
    </row>
    <row r="9" spans="1:8" x14ac:dyDescent="0.35">
      <c r="A9" s="2" t="s">
        <v>29</v>
      </c>
      <c r="B9" s="2" t="s">
        <v>30</v>
      </c>
      <c r="C9" s="2" t="s">
        <v>31</v>
      </c>
      <c r="D9" s="2" t="s">
        <v>32</v>
      </c>
      <c r="E9" s="1">
        <v>1</v>
      </c>
      <c r="F9" s="1" t="s">
        <v>103</v>
      </c>
      <c r="G9" s="1">
        <v>0.49</v>
      </c>
      <c r="H9" s="1">
        <f t="shared" si="0"/>
        <v>0.49</v>
      </c>
    </row>
    <row r="10" spans="1:8" x14ac:dyDescent="0.35">
      <c r="A10" s="2" t="s">
        <v>33</v>
      </c>
      <c r="B10" s="2" t="s">
        <v>102</v>
      </c>
      <c r="C10" s="2" t="s">
        <v>34</v>
      </c>
      <c r="D10" s="2" t="s">
        <v>35</v>
      </c>
      <c r="E10" s="1">
        <v>1</v>
      </c>
      <c r="F10" s="1" t="s">
        <v>101</v>
      </c>
      <c r="G10" s="1">
        <v>2.25</v>
      </c>
      <c r="H10" s="1">
        <f t="shared" si="0"/>
        <v>2.25</v>
      </c>
    </row>
    <row r="11" spans="1:8" x14ac:dyDescent="0.35">
      <c r="A11" s="2" t="s">
        <v>36</v>
      </c>
      <c r="B11" s="2" t="s">
        <v>37</v>
      </c>
      <c r="C11" s="2" t="s">
        <v>87</v>
      </c>
      <c r="D11" s="2" t="s">
        <v>38</v>
      </c>
      <c r="E11" s="1">
        <v>1</v>
      </c>
      <c r="F11" s="1" t="s">
        <v>88</v>
      </c>
      <c r="G11" s="1">
        <v>2.6</v>
      </c>
      <c r="H11" s="1">
        <f t="shared" si="0"/>
        <v>2.6</v>
      </c>
    </row>
    <row r="12" spans="1:8" x14ac:dyDescent="0.35">
      <c r="A12" s="2" t="s">
        <v>39</v>
      </c>
      <c r="B12" s="2" t="s">
        <v>40</v>
      </c>
      <c r="C12" s="2" t="s">
        <v>41</v>
      </c>
      <c r="D12" s="2" t="s">
        <v>42</v>
      </c>
      <c r="E12" s="1">
        <v>5</v>
      </c>
      <c r="F12" s="1" t="s">
        <v>89</v>
      </c>
      <c r="G12" s="1">
        <v>0.16</v>
      </c>
      <c r="H12" s="1">
        <f t="shared" si="0"/>
        <v>0.8</v>
      </c>
    </row>
    <row r="13" spans="1:8" x14ac:dyDescent="0.35">
      <c r="A13" s="2" t="s">
        <v>43</v>
      </c>
      <c r="B13" s="2" t="s">
        <v>44</v>
      </c>
      <c r="C13" s="2" t="s">
        <v>41</v>
      </c>
      <c r="D13" s="2" t="s">
        <v>45</v>
      </c>
      <c r="E13" s="1">
        <v>1</v>
      </c>
      <c r="F13" s="1" t="s">
        <v>91</v>
      </c>
      <c r="G13" s="1">
        <v>0.16</v>
      </c>
      <c r="H13" s="1">
        <f t="shared" si="0"/>
        <v>0.16</v>
      </c>
    </row>
    <row r="14" spans="1:8" x14ac:dyDescent="0.35">
      <c r="A14" s="2" t="s">
        <v>46</v>
      </c>
      <c r="B14" s="2" t="s">
        <v>47</v>
      </c>
      <c r="C14" s="2" t="s">
        <v>41</v>
      </c>
      <c r="D14" s="2" t="s">
        <v>42</v>
      </c>
      <c r="E14" s="1">
        <v>1</v>
      </c>
      <c r="F14" s="1" t="s">
        <v>90</v>
      </c>
      <c r="G14" s="1">
        <v>0.11</v>
      </c>
      <c r="H14" s="1">
        <f t="shared" si="0"/>
        <v>0.11</v>
      </c>
    </row>
    <row r="15" spans="1:8" x14ac:dyDescent="0.35">
      <c r="A15" s="2" t="s">
        <v>48</v>
      </c>
      <c r="B15" s="2" t="s">
        <v>49</v>
      </c>
      <c r="C15" s="2" t="s">
        <v>73</v>
      </c>
      <c r="D15" s="2" t="s">
        <v>50</v>
      </c>
      <c r="E15" s="1">
        <v>1</v>
      </c>
      <c r="F15" s="1" t="s">
        <v>92</v>
      </c>
      <c r="G15" s="1">
        <v>6.9</v>
      </c>
      <c r="H15" s="1">
        <f t="shared" si="0"/>
        <v>6.9</v>
      </c>
    </row>
    <row r="16" spans="1:8" x14ac:dyDescent="0.35">
      <c r="A16" s="2" t="s">
        <v>51</v>
      </c>
      <c r="B16" s="2" t="s">
        <v>94</v>
      </c>
      <c r="C16" s="2" t="s">
        <v>52</v>
      </c>
      <c r="D16" s="2" t="s">
        <v>95</v>
      </c>
      <c r="E16" s="1">
        <v>1</v>
      </c>
      <c r="F16" s="1" t="s">
        <v>93</v>
      </c>
      <c r="G16" s="1">
        <v>23.46</v>
      </c>
      <c r="H16" s="1">
        <f t="shared" si="0"/>
        <v>23.46</v>
      </c>
    </row>
    <row r="17" spans="1:8" x14ac:dyDescent="0.35">
      <c r="A17" s="2" t="s">
        <v>53</v>
      </c>
      <c r="B17" s="2" t="s">
        <v>54</v>
      </c>
      <c r="C17" s="2" t="s">
        <v>55</v>
      </c>
      <c r="D17" s="2" t="s">
        <v>56</v>
      </c>
      <c r="E17" s="1">
        <v>1</v>
      </c>
      <c r="F17" s="1" t="s">
        <v>96</v>
      </c>
      <c r="G17" s="1">
        <v>9.77</v>
      </c>
      <c r="H17" s="1">
        <f t="shared" si="0"/>
        <v>9.77</v>
      </c>
    </row>
    <row r="18" spans="1:8" x14ac:dyDescent="0.35">
      <c r="A18" s="2" t="s">
        <v>57</v>
      </c>
      <c r="B18" s="2" t="s">
        <v>58</v>
      </c>
      <c r="C18" s="2" t="s">
        <v>59</v>
      </c>
      <c r="D18" s="2" t="s">
        <v>60</v>
      </c>
      <c r="E18" s="1">
        <v>2</v>
      </c>
      <c r="F18" s="1" t="s">
        <v>97</v>
      </c>
      <c r="G18" s="1">
        <v>0.89</v>
      </c>
      <c r="H18" s="1">
        <f t="shared" si="0"/>
        <v>1.78</v>
      </c>
    </row>
    <row r="19" spans="1:8" x14ac:dyDescent="0.35">
      <c r="A19" s="2" t="s">
        <v>61</v>
      </c>
      <c r="B19" s="2" t="s">
        <v>62</v>
      </c>
      <c r="C19" s="2" t="s">
        <v>63</v>
      </c>
      <c r="D19" s="2" t="s">
        <v>64</v>
      </c>
      <c r="E19" s="1">
        <v>1</v>
      </c>
      <c r="F19" s="1" t="s">
        <v>98</v>
      </c>
      <c r="G19" s="1">
        <v>12.14</v>
      </c>
      <c r="H19" s="1">
        <f t="shared" si="0"/>
        <v>12.14</v>
      </c>
    </row>
    <row r="20" spans="1:8" x14ac:dyDescent="0.35">
      <c r="A20" s="2" t="s">
        <v>65</v>
      </c>
      <c r="B20" s="2" t="s">
        <v>66</v>
      </c>
      <c r="C20" s="2" t="s">
        <v>67</v>
      </c>
      <c r="D20" s="2" t="s">
        <v>68</v>
      </c>
      <c r="E20" s="1">
        <v>1</v>
      </c>
      <c r="F20" s="1" t="s">
        <v>99</v>
      </c>
      <c r="G20" s="1">
        <v>0.3</v>
      </c>
      <c r="H20" s="1">
        <f t="shared" si="0"/>
        <v>0.3</v>
      </c>
    </row>
    <row r="21" spans="1:8" x14ac:dyDescent="0.35">
      <c r="A21" s="2" t="s">
        <v>69</v>
      </c>
      <c r="B21" s="2" t="s">
        <v>70</v>
      </c>
      <c r="C21" s="2" t="s">
        <v>71</v>
      </c>
      <c r="D21" s="2" t="s">
        <v>72</v>
      </c>
      <c r="E21" s="1">
        <v>1</v>
      </c>
      <c r="F21" s="1" t="s">
        <v>100</v>
      </c>
      <c r="G21" s="1">
        <v>0.64</v>
      </c>
      <c r="H21" s="1">
        <f t="shared" si="0"/>
        <v>0.64</v>
      </c>
    </row>
    <row r="22" spans="1:8" x14ac:dyDescent="0.35">
      <c r="H22" s="5">
        <f>SUM(H2:H21)</f>
        <v>90.95999999999998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BOM Motor_ctrl</vt:lpstr>
      <vt:lpstr>'BOM Motor_ctrl'!Titulos_de_impressao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V. F. Silva</dc:creator>
  <cp:lastModifiedBy>Marcus V. F. Silva</cp:lastModifiedBy>
  <dcterms:created xsi:type="dcterms:W3CDTF">2026-01-15T01:47:15Z</dcterms:created>
  <dcterms:modified xsi:type="dcterms:W3CDTF">2026-01-15T11:20:32Z</dcterms:modified>
</cp:coreProperties>
</file>